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STUDIA\GardenPlanner\"/>
    </mc:Choice>
  </mc:AlternateContent>
  <xr:revisionPtr revIDLastSave="0" documentId="13_ncr:1_{23714968-1FE3-4AE4-A2B7-764023F26A4E}" xr6:coauthVersionLast="47" xr6:coauthVersionMax="47" xr10:uidLastSave="{00000000-0000-0000-0000-000000000000}"/>
  <bookViews>
    <workbookView xWindow="-120" yWindow="-120" windowWidth="29040" windowHeight="15720" xr2:uid="{C072CB22-C9CB-4645-B5DF-C215F3A34585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" i="1" l="1"/>
  <c r="X7" i="1"/>
  <c r="W7" i="1"/>
  <c r="V7" i="1"/>
  <c r="Z7" i="1" s="1"/>
  <c r="Y6" i="1"/>
  <c r="Y5" i="1"/>
  <c r="Y4" i="1"/>
  <c r="X6" i="1"/>
  <c r="X5" i="1"/>
  <c r="X4" i="1"/>
  <c r="W6" i="1"/>
  <c r="W5" i="1"/>
  <c r="W4" i="1"/>
  <c r="V6" i="1"/>
  <c r="V5" i="1"/>
  <c r="V4" i="1"/>
  <c r="U5" i="1"/>
  <c r="U6" i="1"/>
  <c r="U4" i="1"/>
  <c r="T4" i="1"/>
  <c r="T6" i="1"/>
  <c r="T5" i="1"/>
  <c r="D65" i="1"/>
  <c r="C65" i="1"/>
  <c r="D53" i="1"/>
  <c r="C53" i="1"/>
  <c r="D42" i="1"/>
  <c r="C42" i="1"/>
  <c r="S5" i="1"/>
  <c r="S6" i="1"/>
  <c r="S4" i="1"/>
  <c r="R5" i="1"/>
  <c r="R6" i="1"/>
  <c r="R4" i="1"/>
  <c r="P4" i="1"/>
  <c r="Q5" i="1"/>
  <c r="Q6" i="1"/>
  <c r="Q4" i="1"/>
  <c r="P5" i="1"/>
  <c r="P6" i="1"/>
  <c r="D29" i="1"/>
  <c r="C29" i="1"/>
  <c r="D15" i="1"/>
  <c r="C15" i="1"/>
  <c r="AA7" i="1" l="1"/>
  <c r="AA4" i="1"/>
  <c r="Z6" i="1"/>
  <c r="Z5" i="1"/>
  <c r="Z4" i="1"/>
  <c r="AA6" i="1"/>
  <c r="AA5" i="1"/>
</calcChain>
</file>

<file path=xl/sharedStrings.xml><?xml version="1.0" encoding="utf-8"?>
<sst xmlns="http://schemas.openxmlformats.org/spreadsheetml/2006/main" count="145" uniqueCount="72">
  <si>
    <t>ZADANIE</t>
  </si>
  <si>
    <t>WYKONAWCA</t>
  </si>
  <si>
    <t>ESTYMATA [h]</t>
  </si>
  <si>
    <t>WYKONANIE [h]</t>
  </si>
  <si>
    <t>Utworzenie repozytorium GitHub</t>
  </si>
  <si>
    <t>Utworzenie struktury katalogów</t>
  </si>
  <si>
    <t>Instalacja Godot .NET i konfiguracja środowiska</t>
  </si>
  <si>
    <t>Konfiguracja IDE pod Godot</t>
  </si>
  <si>
    <t>Dodanie .gitignore i plikó konfiguracyjnych</t>
  </si>
  <si>
    <t>Utworzenie pierwszej sceny</t>
  </si>
  <si>
    <t>Test rysowania rośliny</t>
  </si>
  <si>
    <t>Utworzenie folderu /Database i pliku docker-compose.yml</t>
  </si>
  <si>
    <t>Stworzenie init.sql z przykładowymi roślinami</t>
  </si>
  <si>
    <t>Uruchomienie kontenera MySQL</t>
  </si>
  <si>
    <t>Test połączenia z bazą z poziomu terminala</t>
  </si>
  <si>
    <t>Michał Kierzkowski</t>
  </si>
  <si>
    <t>Mateusz Lamla</t>
  </si>
  <si>
    <t>Jakub Darul</t>
  </si>
  <si>
    <t>Przygotowanie README.md z opsiem projektu</t>
  </si>
  <si>
    <t>SPRINT 2</t>
  </si>
  <si>
    <t>Stworzenie sceny Plant.tscn</t>
  </si>
  <si>
    <t>Implementacja wstępnego Plant.cs</t>
  </si>
  <si>
    <t>Implementacja struktur danych w c#</t>
  </si>
  <si>
    <t>Implementacja UpdateVisuals()</t>
  </si>
  <si>
    <t>Implementacja rdzenia SimulateMonth w Plant.cs</t>
  </si>
  <si>
    <t>Pełna implementacja OnAreaEntered/Exit</t>
  </si>
  <si>
    <t>Implementacja CalculateSunLevel</t>
  </si>
  <si>
    <t>Implementacja CalculateCollisionFactor</t>
  </si>
  <si>
    <t>Implementacja metody PlacePlant</t>
  </si>
  <si>
    <t>Tworzenie bocznego panelu UI</t>
  </si>
  <si>
    <t>Dynamiczne generowanie przycisków / listy roślin z InitialData</t>
  </si>
  <si>
    <t>Obsługa inputu myszy</t>
  </si>
  <si>
    <t>SUMA</t>
  </si>
  <si>
    <t>Sprint</t>
  </si>
  <si>
    <t xml:space="preserve">SRPINT </t>
  </si>
  <si>
    <t>SPRINT 1</t>
  </si>
  <si>
    <t>Estymata</t>
  </si>
  <si>
    <t>Wykonanie</t>
  </si>
  <si>
    <t>SPRINT 3</t>
  </si>
  <si>
    <t>SPRINT 4</t>
  </si>
  <si>
    <t>SPRINT 5</t>
  </si>
  <si>
    <t>Finalizacja metody RunSimulation i podłączenie przycisków</t>
  </si>
  <si>
    <t>Implementacja klasy DatabaseManager</t>
  </si>
  <si>
    <t>Implementacja metody LoadPlantTypes</t>
  </si>
  <si>
    <t>Refaktoryzacja UI</t>
  </si>
  <si>
    <t>Konfiguracja Timera do symulacji</t>
  </si>
  <si>
    <t>Adaptacja RunSimulation do bycia pojedynczym, miesiecznym krokiem</t>
  </si>
  <si>
    <t>Implementacja metody SaveGardenState</t>
  </si>
  <si>
    <t>Implementacja OptionButon dla wyboru CurrentSoilType</t>
  </si>
  <si>
    <t>Dodanie Label/TextEdit dla każdej rośliny wy.świetlającej wiek i wysokość</t>
  </si>
  <si>
    <t>Dodanie przycisków Zapisz i Wczytaj Ogród</t>
  </si>
  <si>
    <t>Walidacja kolizji przed umieszczeniem</t>
  </si>
  <si>
    <t>Wizualny feedback: rysowanie Czerwonego/Zielonego okręgu na kursorze</t>
  </si>
  <si>
    <t>Sporządzenie wstępnej dokumentacji technicznej: schemat DB (SQL) i API C#.</t>
  </si>
  <si>
    <t>Wszyscy</t>
  </si>
  <si>
    <t>Implementacja pór roku</t>
  </si>
  <si>
    <t>Implementacja wpływu pory roku na bazowy wskaźnik wzrostu</t>
  </si>
  <si>
    <t>Dodanie wizualnego wskaźnika pory roku i postepu czasu w UI</t>
  </si>
  <si>
    <t>Testy integracyjne: Weryfikacja połączenia UI -&gt; DB -&gt; Symulacja.</t>
  </si>
  <si>
    <t>Testy funkcjonalne Save/Load: Weryfikacja stanu po zapisie/wczytaniu.</t>
  </si>
  <si>
    <t>Przygotowanie finalnej prezentacji projektu i instrukcji uruchomienia.</t>
  </si>
  <si>
    <t>Finalna weryfikacja wszystkich wymagań i drobne poprawki UI/UX.</t>
  </si>
  <si>
    <t>Rozbudowanie bazy danych</t>
  </si>
  <si>
    <t>Przygotowanie tekstur roślin</t>
  </si>
  <si>
    <t>Implementacja metody LoadSoilTypes</t>
  </si>
  <si>
    <t>Implementacja wyboru rozmiaru ogrodu</t>
  </si>
  <si>
    <t>Implementacja zapisu danych stanu ogrodu.</t>
  </si>
  <si>
    <t>Dodanie przycisku i implementacja logiki przyspieszenia czasu symulacji</t>
  </si>
  <si>
    <t>Testy krańcowe kolizji i zacienienia i optymalizacja formuł.</t>
  </si>
  <si>
    <t>Refaktoryzacja i czyszczenie kodu.</t>
  </si>
  <si>
    <t>Weryfikacja i obsługa błędów bazy danych.</t>
  </si>
  <si>
    <t>Implementacja LoadGardenState.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</si>
</sst>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horizontal="center"/>
    </xf>
    <xf numFmtId="0" fontId="3" fillId="2" borderId="0" xfId="1" applyFont="1" applyAlignment="1">
      <alignment horizontal="right"/>
    </xf>
    <xf numFmtId="0" fontId="3" fillId="2" borderId="0" xfId="1" applyFont="1" applyAlignment="1">
      <alignment horizontal="left"/>
    </xf>
    <xf numFmtId="0" fontId="3" fillId="2" borderId="0" xfId="1" applyFont="1" applyAlignment="1"/>
    <xf numFmtId="0" fontId="3" fillId="2" borderId="0" xfId="1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Border="1"/>
    <xf numFmtId="0" fontId="0" fillId="0" borderId="8" xfId="0" applyBorder="1"/>
  </cellXfs>
  <cellStyles count="2">
    <cellStyle name="Dobry" xfId="1" builtinId="26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Estymata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AE8-4921-826C-548992C051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AE8-4921-826C-548992C051A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AE8-4921-826C-548992C051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Arkusz1!$P$4:$P$6</c:f>
              <c:numCache>
                <c:formatCode>General</c:formatCode>
                <c:ptCount val="3"/>
                <c:pt idx="0">
                  <c:v>5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C-4C63-98F8-50B16F925D6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Wykonanie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F-960E-43FC-BD78-752869D24B01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0-960E-43FC-BD78-752869D24B01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1-960E-43FC-BD78-752869D24B01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Arkusz1!$Q$4:$Q$6</c:f>
              <c:numCache>
                <c:formatCode>General</c:formatCode>
                <c:ptCount val="3"/>
                <c:pt idx="0">
                  <c:v>5</c:v>
                </c:pt>
                <c:pt idx="1">
                  <c:v>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60E-43FC-BD78-752869D24B01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960E-43FC-BD78-752869D24B01}"/>
              </c:ext>
            </c:extLst>
          </c:dPt>
          <c:dPt>
            <c:idx val="1"/>
            <c:bubble3D val="0"/>
            <c:explosion val="1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960E-43FC-BD78-752869D24B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960E-43FC-BD78-752869D24B0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Arkusz1!$Q$4:$Q$6</c:f>
              <c:numCache>
                <c:formatCode>General</c:formatCode>
                <c:ptCount val="3"/>
                <c:pt idx="0">
                  <c:v>5</c:v>
                </c:pt>
                <c:pt idx="1">
                  <c:v>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0E-43FC-BD78-752869D24B0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Estymata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Arkusz1!$R$4:$R$6</c:f>
              <c:strCache>
                <c:ptCount val="3"/>
                <c:pt idx="0">
                  <c:v>8</c:v>
                </c:pt>
                <c:pt idx="1">
                  <c:v>8</c:v>
                </c:pt>
                <c:pt idx="2">
                  <c:v>11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B6-4246-B0A5-43419CDFB5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B6-4246-B0A5-43419CDFB5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B6-4246-B0A5-43419CDFB5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Arkusz1!$R$4:$R$6</c:f>
              <c:numCache>
                <c:formatCode>General</c:formatCode>
                <c:ptCount val="3"/>
                <c:pt idx="0">
                  <c:v>8</c:v>
                </c:pt>
                <c:pt idx="1">
                  <c:v>8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BB6-4246-B0A5-43419CDFB55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Wykonanie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1"/>
          <c:order val="0"/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Arkusz1!$S$4:$S$6</c:f>
              <c:numCache>
                <c:formatCode>General</c:formatCode>
                <c:ptCount val="3"/>
                <c:pt idx="0">
                  <c:v>7</c:v>
                </c:pt>
                <c:pt idx="1">
                  <c:v>7.5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F4-4429-85E2-2B1D58C4E019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F4-4429-85E2-2B1D58C4E019}"/>
              </c:ext>
            </c:extLst>
          </c:dPt>
          <c:dPt>
            <c:idx val="1"/>
            <c:bubble3D val="0"/>
            <c:explosion val="1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F4-4429-85E2-2B1D58C4E01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F4-4429-85E2-2B1D58C4E0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Arkusz1!$Q$4:$Q$6</c:f>
              <c:numCache>
                <c:formatCode>General</c:formatCode>
                <c:ptCount val="3"/>
                <c:pt idx="0">
                  <c:v>5</c:v>
                </c:pt>
                <c:pt idx="1">
                  <c:v>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F4-4429-85E2-2B1D58C4E01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Estymata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Arkusz1!$T$4:$T$6</c:f>
              <c:strCache>
                <c:ptCount val="3"/>
                <c:pt idx="0">
                  <c:v>10</c:v>
                </c:pt>
                <c:pt idx="1">
                  <c:v>9</c:v>
                </c:pt>
                <c:pt idx="2">
                  <c:v>9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0A7-4F88-B8C5-514A088310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0A7-4F88-B8C5-514A088310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0A7-4F88-B8C5-514A088310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Arkusz1!$T$4:$T$6</c:f>
              <c:numCache>
                <c:formatCode>General</c:formatCode>
                <c:ptCount val="3"/>
                <c:pt idx="0">
                  <c:v>10</c:v>
                </c:pt>
                <c:pt idx="1">
                  <c:v>9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A7-4F88-B8C5-514A0883100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Wykonanie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1"/>
          <c:order val="0"/>
          <c:tx>
            <c:strRef>
              <c:f>Arkusz1!$U$4:$U$6</c:f>
              <c:strCache>
                <c:ptCount val="3"/>
                <c:pt idx="0">
                  <c:v>10</c:v>
                </c:pt>
                <c:pt idx="1">
                  <c:v>7,5</c:v>
                </c:pt>
                <c:pt idx="2">
                  <c:v>7,5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Arkusz1!$O$4:$O$7</c:f>
              <c:strCache>
                <c:ptCount val="4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  <c:pt idx="3">
                  <c:v>Wszyscy</c:v>
                </c:pt>
              </c:strCache>
            </c:strRef>
          </c:cat>
          <c:val>
            <c:numRef>
              <c:f>Arkusz1!$U$4:$U$6</c:f>
              <c:numCache>
                <c:formatCode>General</c:formatCode>
                <c:ptCount val="3"/>
                <c:pt idx="0">
                  <c:v>10</c:v>
                </c:pt>
                <c:pt idx="1">
                  <c:v>7.5</c:v>
                </c:pt>
                <c:pt idx="2">
                  <c:v>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5C-4C57-BDB0-A37B595657D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Estymata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Arkusz1!$V$4:$V$7</c:f>
              <c:strCache>
                <c:ptCount val="4"/>
                <c:pt idx="0">
                  <c:v>6</c:v>
                </c:pt>
                <c:pt idx="1">
                  <c:v>5</c:v>
                </c:pt>
                <c:pt idx="2">
                  <c:v>6</c:v>
                </c:pt>
                <c:pt idx="3">
                  <c:v>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91E-4C43-B079-B1BF0FB5871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91E-4C43-B079-B1BF0FB5871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91E-4C43-B079-B1BF0FB5871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Arkusz1!$O$4:$O$7</c:f>
              <c:strCache>
                <c:ptCount val="4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  <c:pt idx="3">
                  <c:v>Wszyscy</c:v>
                </c:pt>
              </c:strCache>
            </c:strRef>
          </c:cat>
          <c:val>
            <c:numRef>
              <c:f>Arkusz1!$V$4:$V$7</c:f>
              <c:numCache>
                <c:formatCode>General</c:formatCode>
                <c:ptCount val="4"/>
                <c:pt idx="0">
                  <c:v>6</c:v>
                </c:pt>
                <c:pt idx="1">
                  <c:v>5</c:v>
                </c:pt>
                <c:pt idx="2">
                  <c:v>6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1E-4C43-B079-B1BF0FB5871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Wykonanie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1"/>
          <c:order val="0"/>
          <c:tx>
            <c:strRef>
              <c:f>Arkusz1!$W$4:$W$7</c:f>
              <c:strCache>
                <c:ptCount val="4"/>
                <c:pt idx="0">
                  <c:v>5,5</c:v>
                </c:pt>
                <c:pt idx="1">
                  <c:v>4</c:v>
                </c:pt>
                <c:pt idx="2">
                  <c:v>6</c:v>
                </c:pt>
                <c:pt idx="3">
                  <c:v>3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Arkusz1!$O$4:$O$7</c:f>
              <c:strCache>
                <c:ptCount val="4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  <c:pt idx="3">
                  <c:v>Wszyscy</c:v>
                </c:pt>
              </c:strCache>
            </c:strRef>
          </c:cat>
          <c:val>
            <c:numRef>
              <c:f>Arkusz1!$W$4:$W$7</c:f>
              <c:numCache>
                <c:formatCode>General</c:formatCode>
                <c:ptCount val="4"/>
                <c:pt idx="0">
                  <c:v>5.5</c:v>
                </c:pt>
                <c:pt idx="1">
                  <c:v>4</c:v>
                </c:pt>
                <c:pt idx="2">
                  <c:v>6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50-4FF2-ACFC-9815D8B707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Estymata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Arkusz1!$X$4:$X$7</c:f>
              <c:strCache>
                <c:ptCount val="4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14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1D-4DB2-B5F6-3520CC56527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1D-4DB2-B5F6-3520CC56527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51D-4DB2-B5F6-3520CC56527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Arkusz1!$O$4:$O$7</c:f>
              <c:strCache>
                <c:ptCount val="4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  <c:pt idx="3">
                  <c:v>Wszyscy</c:v>
                </c:pt>
              </c:strCache>
            </c:strRef>
          </c:cat>
          <c:val>
            <c:numRef>
              <c:f>Arkusz1!$X$4:$X$7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51D-4DB2-B5F6-3520CC56527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Wykonanie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1"/>
          <c:order val="0"/>
          <c:tx>
            <c:strRef>
              <c:f>Arkusz1!$Y$4:$Y$7</c:f>
              <c:strCache>
                <c:ptCount val="4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14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Arkusz1!$O$4:$O$7</c:f>
              <c:strCache>
                <c:ptCount val="4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  <c:pt idx="3">
                  <c:v>Wszyscy</c:v>
                </c:pt>
              </c:strCache>
            </c:strRef>
          </c:cat>
          <c:val>
            <c:numRef>
              <c:f>Arkusz1!$Y$4:$Y$7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EC-4183-AA60-DD0FAB39064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190501</xdr:colOff>
      <xdr:row>0</xdr:row>
      <xdr:rowOff>42862</xdr:rowOff>
    </xdr:from>
    <xdr:to>
      <xdr:col>9</xdr:col>
      <xdr:colOff>0</xdr:colOff>
      <xdr:row>13</xdr:row>
      <xdr:rowOff>133350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F8182EA5-45D3-C62F-59CA-8117052881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133350</xdr:colOff>
      <xdr:row>0</xdr:row>
      <xdr:rowOff>42861</xdr:rowOff>
    </xdr:from>
    <xdr:to>
      <xdr:col>12</xdr:col>
      <xdr:colOff>581025</xdr:colOff>
      <xdr:row>13</xdr:row>
      <xdr:rowOff>142874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E3248E79-E3EA-697B-FC61-3A6D07F0C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180976</xdr:colOff>
      <xdr:row>14</xdr:row>
      <xdr:rowOff>33337</xdr:rowOff>
    </xdr:from>
    <xdr:to>
      <xdr:col>8</xdr:col>
      <xdr:colOff>600075</xdr:colOff>
      <xdr:row>27</xdr:row>
      <xdr:rowOff>123825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69248762-97B1-434E-86FE-74153390FA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123825</xdr:colOff>
      <xdr:row>14</xdr:row>
      <xdr:rowOff>33336</xdr:rowOff>
    </xdr:from>
    <xdr:to>
      <xdr:col>12</xdr:col>
      <xdr:colOff>571500</xdr:colOff>
      <xdr:row>27</xdr:row>
      <xdr:rowOff>133349</xdr:rowOff>
    </xdr:to>
    <xdr:graphicFrame macro="">
      <xdr:nvGraphicFramePr>
        <xdr:cNvPr id="8" name="Wykres 7">
          <a:extLst>
            <a:ext uri="{FF2B5EF4-FFF2-40B4-BE49-F238E27FC236}">
              <a16:creationId xmlns:a16="http://schemas.microsoft.com/office/drawing/2014/main" id="{D81C1623-3DB7-4650-81D1-791059B8BE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180975</xdr:colOff>
      <xdr:row>28</xdr:row>
      <xdr:rowOff>47626</xdr:rowOff>
    </xdr:from>
    <xdr:to>
      <xdr:col>8</xdr:col>
      <xdr:colOff>600074</xdr:colOff>
      <xdr:row>41</xdr:row>
      <xdr:rowOff>138114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F55EAB55-8504-4122-B234-CFCFF42F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123824</xdr:colOff>
      <xdr:row>28</xdr:row>
      <xdr:rowOff>47625</xdr:rowOff>
    </xdr:from>
    <xdr:to>
      <xdr:col>12</xdr:col>
      <xdr:colOff>571499</xdr:colOff>
      <xdr:row>41</xdr:row>
      <xdr:rowOff>147638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1F8254DE-F01F-4479-8C27-AAEBFD42C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180975</xdr:colOff>
      <xdr:row>41</xdr:row>
      <xdr:rowOff>171451</xdr:rowOff>
    </xdr:from>
    <xdr:to>
      <xdr:col>8</xdr:col>
      <xdr:colOff>600074</xdr:colOff>
      <xdr:row>55</xdr:row>
      <xdr:rowOff>71439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8EF45B82-18CB-44FF-BEBE-49443F617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123824</xdr:colOff>
      <xdr:row>41</xdr:row>
      <xdr:rowOff>171450</xdr:rowOff>
    </xdr:from>
    <xdr:to>
      <xdr:col>12</xdr:col>
      <xdr:colOff>571499</xdr:colOff>
      <xdr:row>55</xdr:row>
      <xdr:rowOff>80963</xdr:rowOff>
    </xdr:to>
    <xdr:graphicFrame macro="">
      <xdr:nvGraphicFramePr>
        <xdr:cNvPr id="11" name="Wykres 10">
          <a:extLst>
            <a:ext uri="{FF2B5EF4-FFF2-40B4-BE49-F238E27FC236}">
              <a16:creationId xmlns:a16="http://schemas.microsoft.com/office/drawing/2014/main" id="{A9E0BEB2-151D-4E8A-B2D7-75DB95C9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180975</xdr:colOff>
      <xdr:row>55</xdr:row>
      <xdr:rowOff>104776</xdr:rowOff>
    </xdr:from>
    <xdr:to>
      <xdr:col>8</xdr:col>
      <xdr:colOff>600074</xdr:colOff>
      <xdr:row>69</xdr:row>
      <xdr:rowOff>4764</xdr:rowOff>
    </xdr:to>
    <xdr:graphicFrame macro="">
      <xdr:nvGraphicFramePr>
        <xdr:cNvPr id="12" name="Wykres 11">
          <a:extLst>
            <a:ext uri="{FF2B5EF4-FFF2-40B4-BE49-F238E27FC236}">
              <a16:creationId xmlns:a16="http://schemas.microsoft.com/office/drawing/2014/main" id="{90A7FEE9-C5C3-497C-9912-325062643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123824</xdr:colOff>
      <xdr:row>55</xdr:row>
      <xdr:rowOff>104775</xdr:rowOff>
    </xdr:from>
    <xdr:to>
      <xdr:col>12</xdr:col>
      <xdr:colOff>571499</xdr:colOff>
      <xdr:row>69</xdr:row>
      <xdr:rowOff>14288</xdr:rowOff>
    </xdr:to>
    <xdr:graphicFrame macro="">
      <xdr:nvGraphicFramePr>
        <xdr:cNvPr id="13" name="Wykres 12">
          <a:extLst>
            <a:ext uri="{FF2B5EF4-FFF2-40B4-BE49-F238E27FC236}">
              <a16:creationId xmlns:a16="http://schemas.microsoft.com/office/drawing/2014/main" id="{A097601E-FB29-4D91-8B04-9B9EAA9A49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0265-4C26-49A7-97B2-50CC0710DF2F}">
  <dimension ref="A1:AA65"/>
  <sheetViews>
    <sheetView tabSelected="1" zoomScale="85" zoomScaleNormal="85" workbookViewId="0">
      <selection activeCell="R18" sqref="R18:R19"/>
    </sheetView>
  </sheetViews>
  <sheetFormatPr defaultRowHeight="15" x14ac:dyDescent="0.25"/>
  <cols>
    <col min="1" max="1" width="74.85546875" bestFit="1" customWidth="1"/>
    <col min="2" max="2" width="18.140625" bestFit="1" customWidth="1"/>
    <col min="3" max="3" width="12.5703125" bestFit="1" customWidth="1"/>
    <col min="4" max="4" width="14.7109375" bestFit="1" customWidth="1"/>
    <col min="6" max="6" width="9.28515625" customWidth="1"/>
    <col min="15" max="15" width="18.140625" bestFit="1" customWidth="1"/>
    <col min="16" max="16" width="9" bestFit="1" customWidth="1"/>
    <col min="17" max="17" width="10.7109375" bestFit="1" customWidth="1"/>
    <col min="18" max="18" width="9" customWidth="1"/>
    <col min="19" max="19" width="10.7109375" bestFit="1" customWidth="1"/>
    <col min="20" max="20" width="9" bestFit="1" customWidth="1"/>
    <col min="21" max="21" width="10.7109375" bestFit="1" customWidth="1"/>
    <col min="22" max="22" width="9" bestFit="1" customWidth="1"/>
    <col min="23" max="23" width="10.7109375" bestFit="1" customWidth="1"/>
    <col min="24" max="24" width="9" bestFit="1" customWidth="1"/>
    <col min="25" max="25" width="10.7109375" bestFit="1" customWidth="1"/>
    <col min="26" max="26" width="9" bestFit="1" customWidth="1"/>
    <col min="27" max="27" width="10.7109375" bestFit="1" customWidth="1"/>
  </cols>
  <sheetData>
    <row r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33</v>
      </c>
    </row>
    <row r="2" spans="1:27" x14ac:dyDescent="0.25">
      <c r="A2" s="2" t="s">
        <v>34</v>
      </c>
      <c r="B2" s="3">
        <v>1</v>
      </c>
      <c r="C2" s="4"/>
      <c r="D2" s="5"/>
      <c r="E2" s="5"/>
      <c r="P2" s="8" t="s">
        <v>35</v>
      </c>
      <c r="Q2" s="9"/>
      <c r="R2" s="8" t="s">
        <v>19</v>
      </c>
      <c r="S2" s="9"/>
      <c r="T2" s="8" t="s">
        <v>38</v>
      </c>
      <c r="U2" s="14"/>
      <c r="V2" s="8" t="s">
        <v>39</v>
      </c>
      <c r="W2" s="14"/>
      <c r="X2" s="8" t="s">
        <v>40</v>
      </c>
      <c r="Y2" s="14"/>
      <c r="Z2" s="8" t="s">
        <v>32</v>
      </c>
      <c r="AA2" s="9"/>
    </row>
    <row r="3" spans="1:27" x14ac:dyDescent="0.25">
      <c r="A3" t="s">
        <v>4</v>
      </c>
      <c r="B3" t="s">
        <v>15</v>
      </c>
      <c r="C3">
        <v>1</v>
      </c>
      <c r="D3">
        <v>1</v>
      </c>
      <c r="E3">
        <v>1</v>
      </c>
      <c r="P3" s="10" t="s">
        <v>36</v>
      </c>
      <c r="Q3" s="11" t="s">
        <v>37</v>
      </c>
      <c r="R3" s="10" t="s">
        <v>36</v>
      </c>
      <c r="S3" s="11" t="s">
        <v>37</v>
      </c>
      <c r="T3" s="10" t="s">
        <v>36</v>
      </c>
      <c r="U3" s="15" t="s">
        <v>37</v>
      </c>
      <c r="V3" s="10" t="s">
        <v>36</v>
      </c>
      <c r="W3" s="15" t="s">
        <v>37</v>
      </c>
      <c r="X3" s="10" t="s">
        <v>36</v>
      </c>
      <c r="Y3" s="15" t="s">
        <v>37</v>
      </c>
      <c r="Z3" s="10" t="s">
        <v>36</v>
      </c>
      <c r="AA3" s="11" t="s">
        <v>37</v>
      </c>
    </row>
    <row r="4" spans="1:27" x14ac:dyDescent="0.25">
      <c r="A4" t="s">
        <v>18</v>
      </c>
      <c r="B4" t="s">
        <v>15</v>
      </c>
      <c r="C4">
        <v>1</v>
      </c>
      <c r="D4">
        <v>1</v>
      </c>
      <c r="E4">
        <v>1</v>
      </c>
      <c r="O4" t="s">
        <v>17</v>
      </c>
      <c r="P4" s="10">
        <f>SUMIFS($C:$C, $B:$B, $O4, $E:$E, $B$2)</f>
        <v>5</v>
      </c>
      <c r="Q4" s="11">
        <f>SUMIFS($D:$D, $B:$B, $O4, $E:$E, $B$2)</f>
        <v>5</v>
      </c>
      <c r="R4" s="10">
        <f>SUMIFS($C:$C, $B:$B, $O4, $E:$E, $B$16)</f>
        <v>8</v>
      </c>
      <c r="S4" s="11">
        <f>SUMIFS($D:$D, $B:$B, $O4, $E:$E, $B$16)</f>
        <v>7</v>
      </c>
      <c r="T4" s="10">
        <f>SUMIFS($C:$C, $B:$B, $O4, $E:$E, $B$30)</f>
        <v>10</v>
      </c>
      <c r="U4" s="15">
        <f>SUMIFS($D:$D, $B:$B, $O4, $E:$E, $B$30)</f>
        <v>10</v>
      </c>
      <c r="V4" s="10">
        <f>SUMIFS($C:$C, $B:$B, $O4, $E:$E, $B$43)</f>
        <v>6</v>
      </c>
      <c r="W4" s="15">
        <f>SUMIFS($D:$D, $B:$B, $O4, $E:$E, $B$43)</f>
        <v>5.5</v>
      </c>
      <c r="X4" s="10">
        <f>SUMIFS($C:$C, $B:$B, $O4, $E:$E, $B$54)</f>
        <v>2</v>
      </c>
      <c r="Y4" s="15">
        <f>SUMIFS($D:$D, $B:$B, $O4, $E:$E, $B$54)</f>
        <v>2</v>
      </c>
      <c r="Z4" s="10">
        <f>SUM(P4,R4,T4,V4,X4)</f>
        <v>31</v>
      </c>
      <c r="AA4" s="11">
        <f>SUM(Q4,S4,U4,W4,Y4)</f>
        <v>29.5</v>
      </c>
    </row>
    <row r="5" spans="1:27" x14ac:dyDescent="0.25">
      <c r="A5" t="s">
        <v>5</v>
      </c>
      <c r="B5" t="s">
        <v>15</v>
      </c>
      <c r="C5">
        <v>1</v>
      </c>
      <c r="D5">
        <v>1</v>
      </c>
      <c r="E5">
        <v>1</v>
      </c>
      <c r="O5" t="s">
        <v>15</v>
      </c>
      <c r="P5" s="10">
        <f>SUMIFS($C:$C, $B:$B, $O5, $E:$E, $B$2)</f>
        <v>8</v>
      </c>
      <c r="Q5" s="11">
        <f>SUMIFS($D:$D, $B:$B, $O5, $E:$E, $B$2)</f>
        <v>8</v>
      </c>
      <c r="R5" s="10">
        <f>SUMIFS($C:$C, $B:$B, $O5, $E:$E, $B$16)</f>
        <v>8</v>
      </c>
      <c r="S5" s="11">
        <f>SUMIFS($D:$D, $B:$B, $O5, $E:$E, $B$16)</f>
        <v>7.5</v>
      </c>
      <c r="T5" s="10">
        <f>SUMIFS($C:$C, $B:$B, $O5, $E:$E, $B$30)</f>
        <v>9</v>
      </c>
      <c r="U5" s="15">
        <f t="shared" ref="U5:U6" si="0">SUMIFS($D:$D, $B:$B, $O5, $E:$E, $B$30)</f>
        <v>7.5</v>
      </c>
      <c r="V5" s="10">
        <f>SUMIFS($C:$C, $B:$B, $O5, $E:$E, $B$43)</f>
        <v>5</v>
      </c>
      <c r="W5" s="15">
        <f>SUMIFS($D:$D, $B:$B, $O5, $E:$E, $B$43)</f>
        <v>4</v>
      </c>
      <c r="X5" s="10">
        <f>SUMIFS($C:$C, $B:$B, $O5, $E:$E, $B$54)</f>
        <v>4</v>
      </c>
      <c r="Y5" s="15">
        <f>SUMIFS($D:$D, $B:$B, $O5, $E:$E, $B$54)</f>
        <v>4</v>
      </c>
      <c r="Z5" s="10">
        <f t="shared" ref="Z5:Z6" si="1">SUM(P5,R5,T5,V5,X5)</f>
        <v>34</v>
      </c>
      <c r="AA5" s="11">
        <f t="shared" ref="AA5:AA7" si="2">SUM(Q5,S5,U5,W5,Y5)</f>
        <v>31</v>
      </c>
    </row>
    <row r="6" spans="1:27" x14ac:dyDescent="0.25">
      <c r="A6" t="s">
        <v>6</v>
      </c>
      <c r="B6" t="s">
        <v>16</v>
      </c>
      <c r="C6">
        <v>2</v>
      </c>
      <c r="D6">
        <v>2</v>
      </c>
      <c r="E6">
        <v>1</v>
      </c>
      <c r="O6" t="s">
        <v>16</v>
      </c>
      <c r="P6" s="12">
        <f>SUMIFS($C:$C, $B:$B, $O6, $E:$E, $B$2)</f>
        <v>4</v>
      </c>
      <c r="Q6" s="13">
        <f>SUMIFS($D:$D, $B:$B, $O6, $E:$E, $B$2)</f>
        <v>5</v>
      </c>
      <c r="R6" s="12">
        <f>SUMIFS($C:$C, $B:$B, $O6, $E:$E, $B$16)</f>
        <v>11</v>
      </c>
      <c r="S6" s="13">
        <f>SUMIFS($D:$D, $B:$B, $O6, $E:$E, $B$16)</f>
        <v>9</v>
      </c>
      <c r="T6" s="12">
        <f>SUMIFS($C:$C, $B:$B, $O6, $E:$E, $B$30)</f>
        <v>9</v>
      </c>
      <c r="U6" s="16">
        <f t="shared" si="0"/>
        <v>7.5</v>
      </c>
      <c r="V6" s="10">
        <f>SUMIFS($C:$C, $B:$B, $O6, $E:$E, $B$43)</f>
        <v>6</v>
      </c>
      <c r="W6" s="15">
        <f>SUMIFS($D:$D, $B:$B, $O6, $E:$E, $B$43)</f>
        <v>6</v>
      </c>
      <c r="X6" s="10">
        <f>SUMIFS($C:$C, $B:$B, $O6, $E:$E, $B$54)</f>
        <v>4</v>
      </c>
      <c r="Y6" s="15">
        <f>SUMIFS($D:$D, $B:$B, $O6, $E:$E, $B$54)</f>
        <v>4</v>
      </c>
      <c r="Z6" s="10">
        <f>SUM(P6,R6,T6,V6,X6)</f>
        <v>34</v>
      </c>
      <c r="AA6" s="11">
        <f t="shared" si="2"/>
        <v>31.5</v>
      </c>
    </row>
    <row r="7" spans="1:27" x14ac:dyDescent="0.25">
      <c r="A7" t="s">
        <v>7</v>
      </c>
      <c r="B7" t="s">
        <v>16</v>
      </c>
      <c r="C7">
        <v>1</v>
      </c>
      <c r="D7">
        <v>2</v>
      </c>
      <c r="E7">
        <v>1</v>
      </c>
      <c r="O7" t="s">
        <v>54</v>
      </c>
      <c r="V7" s="12">
        <f>SUMIFS($C:$C, $B:$B, $O7, $E:$E, $B$43)</f>
        <v>3</v>
      </c>
      <c r="W7" s="16">
        <f>SUMIFS($D:$D, $B:$B, $O7, $E:$E, $B$43)</f>
        <v>3</v>
      </c>
      <c r="X7" s="12">
        <f>SUMIFS($C:$C, $B:$B, $O7, $E:$E, $B$54)</f>
        <v>14</v>
      </c>
      <c r="Y7" s="16">
        <f>SUMIFS($D:$D, $B:$B, $O7, $E:$E, $B$54)</f>
        <v>14</v>
      </c>
      <c r="Z7" s="12">
        <f>SUM(P7,R7,T7,V7,X7)</f>
        <v>17</v>
      </c>
      <c r="AA7" s="13">
        <f t="shared" si="2"/>
        <v>17</v>
      </c>
    </row>
    <row r="8" spans="1:27" x14ac:dyDescent="0.25">
      <c r="A8" t="s">
        <v>8</v>
      </c>
      <c r="B8" t="s">
        <v>16</v>
      </c>
      <c r="C8">
        <v>1</v>
      </c>
      <c r="D8">
        <v>1</v>
      </c>
      <c r="E8">
        <v>1</v>
      </c>
    </row>
    <row r="9" spans="1:27" x14ac:dyDescent="0.25">
      <c r="A9" t="s">
        <v>9</v>
      </c>
      <c r="B9" t="s">
        <v>15</v>
      </c>
      <c r="C9">
        <v>3</v>
      </c>
      <c r="D9">
        <v>3</v>
      </c>
      <c r="E9">
        <v>1</v>
      </c>
    </row>
    <row r="10" spans="1:27" x14ac:dyDescent="0.25">
      <c r="A10" t="s">
        <v>10</v>
      </c>
      <c r="B10" t="s">
        <v>15</v>
      </c>
      <c r="C10">
        <v>2</v>
      </c>
      <c r="D10">
        <v>2</v>
      </c>
      <c r="E10">
        <v>1</v>
      </c>
    </row>
    <row r="11" spans="1:27" x14ac:dyDescent="0.25">
      <c r="A11" t="s">
        <v>11</v>
      </c>
      <c r="B11" t="s">
        <v>17</v>
      </c>
      <c r="C11">
        <v>1</v>
      </c>
      <c r="D11">
        <v>1</v>
      </c>
      <c r="E11">
        <v>1</v>
      </c>
    </row>
    <row r="12" spans="1:27" x14ac:dyDescent="0.25">
      <c r="A12" t="s">
        <v>12</v>
      </c>
      <c r="B12" t="s">
        <v>17</v>
      </c>
      <c r="C12">
        <v>2</v>
      </c>
      <c r="D12">
        <v>2</v>
      </c>
      <c r="E12">
        <v>1</v>
      </c>
    </row>
    <row r="13" spans="1:27" x14ac:dyDescent="0.25">
      <c r="A13" t="s">
        <v>13</v>
      </c>
      <c r="B13" t="s">
        <v>17</v>
      </c>
      <c r="C13">
        <v>1</v>
      </c>
      <c r="D13">
        <v>1</v>
      </c>
      <c r="E13">
        <v>1</v>
      </c>
    </row>
    <row r="14" spans="1:27" x14ac:dyDescent="0.25">
      <c r="A14" t="s">
        <v>14</v>
      </c>
      <c r="B14" t="s">
        <v>17</v>
      </c>
      <c r="C14">
        <v>1</v>
      </c>
      <c r="D14">
        <v>1</v>
      </c>
      <c r="E14">
        <v>1</v>
      </c>
    </row>
    <row r="15" spans="1:27" x14ac:dyDescent="0.25">
      <c r="A15" s="7" t="s">
        <v>32</v>
      </c>
      <c r="B15" s="7"/>
      <c r="C15" s="6">
        <f>SUM(C3:C14)</f>
        <v>17</v>
      </c>
      <c r="D15" s="6">
        <f>SUM(D3:D14)</f>
        <v>18</v>
      </c>
    </row>
    <row r="16" spans="1:27" x14ac:dyDescent="0.25">
      <c r="A16" s="2" t="s">
        <v>34</v>
      </c>
      <c r="B16" s="3">
        <v>2</v>
      </c>
      <c r="C16" s="4"/>
      <c r="D16" s="5"/>
      <c r="E16" s="5"/>
    </row>
    <row r="17" spans="1:5" x14ac:dyDescent="0.25">
      <c r="A17" t="s">
        <v>20</v>
      </c>
      <c r="B17" t="s">
        <v>15</v>
      </c>
      <c r="C17">
        <v>1</v>
      </c>
      <c r="D17">
        <v>1</v>
      </c>
      <c r="E17">
        <v>2</v>
      </c>
    </row>
    <row r="18" spans="1:5" x14ac:dyDescent="0.25">
      <c r="A18" t="s">
        <v>21</v>
      </c>
      <c r="B18" t="s">
        <v>15</v>
      </c>
      <c r="C18">
        <v>3</v>
      </c>
      <c r="D18">
        <v>3</v>
      </c>
      <c r="E18">
        <v>2</v>
      </c>
    </row>
    <row r="19" spans="1:5" x14ac:dyDescent="0.25">
      <c r="A19" t="s">
        <v>22</v>
      </c>
      <c r="B19" t="s">
        <v>16</v>
      </c>
      <c r="C19">
        <v>3</v>
      </c>
      <c r="D19">
        <v>2</v>
      </c>
      <c r="E19">
        <v>2</v>
      </c>
    </row>
    <row r="20" spans="1:5" x14ac:dyDescent="0.25">
      <c r="A20" t="s">
        <v>23</v>
      </c>
      <c r="B20" t="s">
        <v>15</v>
      </c>
      <c r="C20">
        <v>1</v>
      </c>
      <c r="D20">
        <v>1</v>
      </c>
      <c r="E20">
        <v>2</v>
      </c>
    </row>
    <row r="21" spans="1:5" x14ac:dyDescent="0.25">
      <c r="A21" t="s">
        <v>24</v>
      </c>
      <c r="B21" t="s">
        <v>15</v>
      </c>
      <c r="C21">
        <v>2</v>
      </c>
      <c r="D21">
        <v>1.5</v>
      </c>
      <c r="E21">
        <v>2</v>
      </c>
    </row>
    <row r="22" spans="1:5" x14ac:dyDescent="0.25">
      <c r="A22" t="s">
        <v>25</v>
      </c>
      <c r="B22" t="s">
        <v>15</v>
      </c>
      <c r="C22">
        <v>1</v>
      </c>
      <c r="D22">
        <v>1</v>
      </c>
      <c r="E22">
        <v>2</v>
      </c>
    </row>
    <row r="23" spans="1:5" x14ac:dyDescent="0.25">
      <c r="A23" t="s">
        <v>26</v>
      </c>
      <c r="B23" t="s">
        <v>17</v>
      </c>
      <c r="C23">
        <v>4</v>
      </c>
      <c r="D23">
        <v>3</v>
      </c>
      <c r="E23">
        <v>2</v>
      </c>
    </row>
    <row r="24" spans="1:5" x14ac:dyDescent="0.25">
      <c r="A24" t="s">
        <v>27</v>
      </c>
      <c r="B24" t="s">
        <v>17</v>
      </c>
      <c r="C24">
        <v>3</v>
      </c>
      <c r="D24">
        <v>3</v>
      </c>
      <c r="E24">
        <v>2</v>
      </c>
    </row>
    <row r="25" spans="1:5" x14ac:dyDescent="0.25">
      <c r="A25" t="s">
        <v>28</v>
      </c>
      <c r="B25" t="s">
        <v>16</v>
      </c>
      <c r="C25">
        <v>4</v>
      </c>
      <c r="D25">
        <v>3</v>
      </c>
      <c r="E25">
        <v>2</v>
      </c>
    </row>
    <row r="26" spans="1:5" x14ac:dyDescent="0.25">
      <c r="A26" t="s">
        <v>29</v>
      </c>
      <c r="B26" t="s">
        <v>17</v>
      </c>
      <c r="C26">
        <v>1</v>
      </c>
      <c r="D26">
        <v>1</v>
      </c>
      <c r="E26">
        <v>2</v>
      </c>
    </row>
    <row r="27" spans="1:5" x14ac:dyDescent="0.25">
      <c r="A27" t="s">
        <v>30</v>
      </c>
      <c r="B27" t="s">
        <v>16</v>
      </c>
      <c r="C27">
        <v>2</v>
      </c>
      <c r="D27">
        <v>2</v>
      </c>
      <c r="E27">
        <v>2</v>
      </c>
    </row>
    <row r="28" spans="1:5" x14ac:dyDescent="0.25">
      <c r="A28" t="s">
        <v>31</v>
      </c>
      <c r="B28" t="s">
        <v>16</v>
      </c>
      <c r="C28">
        <v>2</v>
      </c>
      <c r="D28">
        <v>2</v>
      </c>
      <c r="E28">
        <v>2</v>
      </c>
    </row>
    <row r="29" spans="1:5" x14ac:dyDescent="0.25">
      <c r="A29" s="7" t="s">
        <v>32</v>
      </c>
      <c r="B29" s="7"/>
      <c r="C29" s="6">
        <f>SUM(C17:C28)</f>
        <v>27</v>
      </c>
      <c r="D29" s="6">
        <f>SUM(D17:D28)</f>
        <v>23.5</v>
      </c>
    </row>
    <row r="30" spans="1:5" x14ac:dyDescent="0.25">
      <c r="A30" s="2" t="s">
        <v>34</v>
      </c>
      <c r="B30" s="3">
        <v>3</v>
      </c>
      <c r="C30" s="4"/>
      <c r="D30" s="5"/>
      <c r="E30" s="5"/>
    </row>
    <row r="31" spans="1:5" x14ac:dyDescent="0.25">
      <c r="A31" t="s">
        <v>41</v>
      </c>
      <c r="B31" t="s">
        <v>15</v>
      </c>
      <c r="C31">
        <v>2</v>
      </c>
      <c r="D31">
        <v>2</v>
      </c>
      <c r="E31">
        <v>3</v>
      </c>
    </row>
    <row r="32" spans="1:5" x14ac:dyDescent="0.25">
      <c r="A32" t="s">
        <v>42</v>
      </c>
      <c r="B32" t="s">
        <v>17</v>
      </c>
      <c r="C32">
        <v>4</v>
      </c>
      <c r="D32">
        <v>4</v>
      </c>
      <c r="E32">
        <v>3</v>
      </c>
    </row>
    <row r="33" spans="1:5" x14ac:dyDescent="0.25">
      <c r="A33" t="s">
        <v>43</v>
      </c>
      <c r="B33" t="s">
        <v>16</v>
      </c>
      <c r="C33">
        <v>3</v>
      </c>
      <c r="D33">
        <v>3</v>
      </c>
      <c r="E33">
        <v>3</v>
      </c>
    </row>
    <row r="34" spans="1:5" x14ac:dyDescent="0.25">
      <c r="A34" t="s">
        <v>64</v>
      </c>
      <c r="B34" t="s">
        <v>16</v>
      </c>
      <c r="C34">
        <v>2</v>
      </c>
      <c r="D34">
        <v>2</v>
      </c>
      <c r="E34">
        <v>3</v>
      </c>
    </row>
    <row r="35" spans="1:5" x14ac:dyDescent="0.25">
      <c r="A35" t="s">
        <v>44</v>
      </c>
      <c r="B35" t="s">
        <v>17</v>
      </c>
      <c r="C35">
        <v>1</v>
      </c>
      <c r="D35">
        <v>1</v>
      </c>
      <c r="E35">
        <v>3</v>
      </c>
    </row>
    <row r="36" spans="1:5" x14ac:dyDescent="0.25">
      <c r="A36" t="s">
        <v>45</v>
      </c>
      <c r="B36" t="s">
        <v>15</v>
      </c>
      <c r="C36">
        <v>2</v>
      </c>
      <c r="D36">
        <v>1.5</v>
      </c>
      <c r="E36">
        <v>3</v>
      </c>
    </row>
    <row r="37" spans="1:5" x14ac:dyDescent="0.25">
      <c r="A37" t="s">
        <v>46</v>
      </c>
      <c r="B37" t="s">
        <v>15</v>
      </c>
      <c r="C37">
        <v>3</v>
      </c>
      <c r="D37">
        <v>2</v>
      </c>
      <c r="E37">
        <v>3</v>
      </c>
    </row>
    <row r="38" spans="1:5" x14ac:dyDescent="0.25">
      <c r="A38" t="s">
        <v>62</v>
      </c>
      <c r="B38" t="s">
        <v>17</v>
      </c>
      <c r="C38">
        <v>2</v>
      </c>
      <c r="D38">
        <v>3</v>
      </c>
      <c r="E38">
        <v>3</v>
      </c>
    </row>
    <row r="39" spans="1:5" x14ac:dyDescent="0.25">
      <c r="A39" t="s">
        <v>65</v>
      </c>
      <c r="B39" t="s">
        <v>15</v>
      </c>
      <c r="C39">
        <v>2</v>
      </c>
      <c r="D39">
        <v>2</v>
      </c>
      <c r="E39">
        <v>3</v>
      </c>
    </row>
    <row r="40" spans="1:5" x14ac:dyDescent="0.25">
      <c r="A40" t="s">
        <v>63</v>
      </c>
      <c r="B40" t="s">
        <v>17</v>
      </c>
      <c r="C40">
        <v>3</v>
      </c>
      <c r="D40">
        <v>2</v>
      </c>
      <c r="E40">
        <v>3</v>
      </c>
    </row>
    <row r="41" spans="1:5" x14ac:dyDescent="0.25">
      <c r="A41" t="s">
        <v>47</v>
      </c>
      <c r="B41" t="s">
        <v>16</v>
      </c>
      <c r="C41">
        <v>4</v>
      </c>
      <c r="D41">
        <v>2.5</v>
      </c>
      <c r="E41">
        <v>3</v>
      </c>
    </row>
    <row r="42" spans="1:5" x14ac:dyDescent="0.25">
      <c r="A42" s="7" t="s">
        <v>32</v>
      </c>
      <c r="B42" s="7"/>
      <c r="C42" s="6">
        <f>SUM(C31:C41)</f>
        <v>28</v>
      </c>
      <c r="D42" s="6">
        <f>SUM(D31:D41)</f>
        <v>25</v>
      </c>
    </row>
    <row r="43" spans="1:5" x14ac:dyDescent="0.25">
      <c r="A43" s="2" t="s">
        <v>34</v>
      </c>
      <c r="B43" s="3">
        <v>4</v>
      </c>
      <c r="C43" s="4"/>
      <c r="D43" s="5"/>
      <c r="E43" s="5"/>
    </row>
    <row r="44" spans="1:5" x14ac:dyDescent="0.25">
      <c r="A44" t="s">
        <v>48</v>
      </c>
      <c r="B44" t="s">
        <v>17</v>
      </c>
      <c r="C44">
        <v>2</v>
      </c>
      <c r="D44">
        <v>2</v>
      </c>
      <c r="E44">
        <v>4</v>
      </c>
    </row>
    <row r="45" spans="1:5" x14ac:dyDescent="0.25">
      <c r="A45" t="s">
        <v>49</v>
      </c>
      <c r="B45" t="s">
        <v>17</v>
      </c>
      <c r="C45">
        <v>2</v>
      </c>
      <c r="D45">
        <v>2</v>
      </c>
      <c r="E45">
        <v>4</v>
      </c>
    </row>
    <row r="46" spans="1:5" x14ac:dyDescent="0.25">
      <c r="A46" t="s">
        <v>50</v>
      </c>
      <c r="B46" t="s">
        <v>17</v>
      </c>
      <c r="C46">
        <v>2</v>
      </c>
      <c r="D46">
        <v>1.5</v>
      </c>
      <c r="E46">
        <v>4</v>
      </c>
    </row>
    <row r="47" spans="1:5" x14ac:dyDescent="0.25">
      <c r="A47" t="s">
        <v>51</v>
      </c>
      <c r="B47" t="s">
        <v>16</v>
      </c>
      <c r="C47">
        <v>3</v>
      </c>
      <c r="D47">
        <v>3</v>
      </c>
      <c r="E47">
        <v>4</v>
      </c>
    </row>
    <row r="48" spans="1:5" x14ac:dyDescent="0.25">
      <c r="A48" t="s">
        <v>52</v>
      </c>
      <c r="B48" t="s">
        <v>16</v>
      </c>
      <c r="C48">
        <v>1</v>
      </c>
      <c r="D48">
        <v>1</v>
      </c>
      <c r="E48">
        <v>4</v>
      </c>
    </row>
    <row r="49" spans="1:5" x14ac:dyDescent="0.25">
      <c r="A49" t="s">
        <v>71</v>
      </c>
      <c r="B49" t="s">
        <v>15</v>
      </c>
      <c r="C49">
        <v>3</v>
      </c>
      <c r="D49">
        <v>2</v>
      </c>
      <c r="E49">
        <v>4</v>
      </c>
    </row>
    <row r="50" spans="1:5" x14ac:dyDescent="0.25">
      <c r="A50" t="s">
        <v>66</v>
      </c>
      <c r="B50" t="s">
        <v>15</v>
      </c>
      <c r="C50">
        <v>2</v>
      </c>
      <c r="D50">
        <v>2</v>
      </c>
      <c r="E50">
        <v>4</v>
      </c>
    </row>
    <row r="51" spans="1:5" x14ac:dyDescent="0.25">
      <c r="A51" t="s">
        <v>67</v>
      </c>
      <c r="B51" t="s">
        <v>16</v>
      </c>
      <c r="C51">
        <v>2</v>
      </c>
      <c r="D51">
        <v>2</v>
      </c>
      <c r="E51">
        <v>4</v>
      </c>
    </row>
    <row r="52" spans="1:5" x14ac:dyDescent="0.25">
      <c r="A52" t="s">
        <v>53</v>
      </c>
      <c r="B52" t="s">
        <v>54</v>
      </c>
      <c r="C52">
        <v>3</v>
      </c>
      <c r="D52">
        <v>3</v>
      </c>
      <c r="E52">
        <v>4</v>
      </c>
    </row>
    <row r="53" spans="1:5" x14ac:dyDescent="0.25">
      <c r="A53" s="7" t="s">
        <v>32</v>
      </c>
      <c r="B53" s="7"/>
      <c r="C53" s="6">
        <f>SUM(C44:C52)</f>
        <v>20</v>
      </c>
      <c r="D53" s="6">
        <f>SUM(D44:D52)</f>
        <v>18.5</v>
      </c>
    </row>
    <row r="54" spans="1:5" x14ac:dyDescent="0.25">
      <c r="A54" s="2" t="s">
        <v>34</v>
      </c>
      <c r="B54" s="3">
        <v>5</v>
      </c>
      <c r="C54" s="4"/>
      <c r="D54" s="5"/>
      <c r="E54" s="5"/>
    </row>
    <row r="55" spans="1:5" x14ac:dyDescent="0.25">
      <c r="A55" t="s">
        <v>55</v>
      </c>
      <c r="B55" t="s">
        <v>15</v>
      </c>
      <c r="C55">
        <v>2</v>
      </c>
      <c r="D55">
        <v>2</v>
      </c>
      <c r="E55">
        <v>5</v>
      </c>
    </row>
    <row r="56" spans="1:5" x14ac:dyDescent="0.25">
      <c r="A56" t="s">
        <v>56</v>
      </c>
      <c r="B56" t="s">
        <v>15</v>
      </c>
      <c r="C56">
        <v>2</v>
      </c>
      <c r="D56">
        <v>2</v>
      </c>
      <c r="E56">
        <v>5</v>
      </c>
    </row>
    <row r="57" spans="1:5" x14ac:dyDescent="0.25">
      <c r="A57" t="s">
        <v>57</v>
      </c>
      <c r="B57" t="s">
        <v>17</v>
      </c>
      <c r="C57">
        <v>2</v>
      </c>
      <c r="D57">
        <v>2</v>
      </c>
      <c r="E57">
        <v>5</v>
      </c>
    </row>
    <row r="58" spans="1:5" x14ac:dyDescent="0.25">
      <c r="A58" t="s">
        <v>58</v>
      </c>
      <c r="B58" t="s">
        <v>54</v>
      </c>
      <c r="C58">
        <v>3</v>
      </c>
      <c r="D58">
        <v>3</v>
      </c>
      <c r="E58">
        <v>5</v>
      </c>
    </row>
    <row r="59" spans="1:5" x14ac:dyDescent="0.25">
      <c r="A59" t="s">
        <v>59</v>
      </c>
      <c r="B59" t="s">
        <v>54</v>
      </c>
      <c r="C59">
        <v>2</v>
      </c>
      <c r="D59">
        <v>2</v>
      </c>
      <c r="E59">
        <v>5</v>
      </c>
    </row>
    <row r="60" spans="1:5" x14ac:dyDescent="0.25">
      <c r="A60" t="s">
        <v>68</v>
      </c>
      <c r="B60" t="s">
        <v>54</v>
      </c>
      <c r="C60">
        <v>4</v>
      </c>
      <c r="D60">
        <v>4</v>
      </c>
      <c r="E60">
        <v>5</v>
      </c>
    </row>
    <row r="61" spans="1:5" x14ac:dyDescent="0.25">
      <c r="A61" t="s">
        <v>69</v>
      </c>
      <c r="B61" t="s">
        <v>16</v>
      </c>
      <c r="C61">
        <v>2</v>
      </c>
      <c r="D61">
        <v>2</v>
      </c>
      <c r="E61">
        <v>5</v>
      </c>
    </row>
    <row r="62" spans="1:5" x14ac:dyDescent="0.25">
      <c r="A62" t="s">
        <v>70</v>
      </c>
      <c r="B62" t="s">
        <v>16</v>
      </c>
      <c r="C62">
        <v>2</v>
      </c>
      <c r="D62">
        <v>2</v>
      </c>
      <c r="E62">
        <v>5</v>
      </c>
    </row>
    <row r="63" spans="1:5" x14ac:dyDescent="0.25">
      <c r="A63" t="s">
        <v>60</v>
      </c>
      <c r="B63" t="s">
        <v>54</v>
      </c>
      <c r="C63">
        <v>3</v>
      </c>
      <c r="D63">
        <v>3</v>
      </c>
      <c r="E63">
        <v>5</v>
      </c>
    </row>
    <row r="64" spans="1:5" x14ac:dyDescent="0.25">
      <c r="A64" t="s">
        <v>61</v>
      </c>
      <c r="B64" t="s">
        <v>54</v>
      </c>
      <c r="C64">
        <v>2</v>
      </c>
      <c r="D64">
        <v>2</v>
      </c>
      <c r="E64">
        <v>5</v>
      </c>
    </row>
    <row r="65" spans="1:4" x14ac:dyDescent="0.25">
      <c r="A65" s="7" t="s">
        <v>32</v>
      </c>
      <c r="B65" s="7"/>
      <c r="C65" s="6">
        <f>SUM(C55:C64)</f>
        <v>24</v>
      </c>
      <c r="D65" s="6">
        <f>SUM(D55:D64)</f>
        <v>24</v>
      </c>
    </row>
  </sheetData>
  <mergeCells count="11">
    <mergeCell ref="V2:W2"/>
    <mergeCell ref="X2:Y2"/>
    <mergeCell ref="Z2:AA2"/>
    <mergeCell ref="R2:S2"/>
    <mergeCell ref="A15:B15"/>
    <mergeCell ref="A65:B65"/>
    <mergeCell ref="A29:B29"/>
    <mergeCell ref="P2:Q2"/>
    <mergeCell ref="T2:U2"/>
    <mergeCell ref="A42:B42"/>
    <mergeCell ref="A53:B5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lamla</dc:creator>
  <cp:lastModifiedBy>mateusz lamla</cp:lastModifiedBy>
  <dcterms:created xsi:type="dcterms:W3CDTF">2025-11-28T19:50:23Z</dcterms:created>
  <dcterms:modified xsi:type="dcterms:W3CDTF">2026-01-19T12:59:26Z</dcterms:modified>
</cp:coreProperties>
</file>