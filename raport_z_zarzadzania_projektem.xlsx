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STUDIA\_SEMESTR5\Inzynieria_Oprogramowania\"/>
    </mc:Choice>
  </mc:AlternateContent>
  <xr:revisionPtr revIDLastSave="0" documentId="13_ncr:1_{B96BBC8C-8B72-4AA2-935D-9602A9770D94}" xr6:coauthVersionLast="47" xr6:coauthVersionMax="47" xr10:uidLastSave="{00000000-0000-0000-0000-000000000000}"/>
  <bookViews>
    <workbookView xWindow="-120" yWindow="-120" windowWidth="29040" windowHeight="15720" xr2:uid="{C072CB22-C9CB-4645-B5DF-C215F3A3458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Z6" i="1"/>
  <c r="Z4" i="1"/>
  <c r="S5" i="1"/>
  <c r="S6" i="1"/>
  <c r="S4" i="1"/>
  <c r="R5" i="1"/>
  <c r="R6" i="1"/>
  <c r="R4" i="1"/>
  <c r="P4" i="1"/>
  <c r="Q5" i="1"/>
  <c r="AA5" i="1" s="1"/>
  <c r="Q6" i="1"/>
  <c r="AA6" i="1" s="1"/>
  <c r="Q4" i="1"/>
  <c r="AA4" i="1" s="1"/>
  <c r="P5" i="1"/>
  <c r="P6" i="1"/>
  <c r="D29" i="1"/>
  <c r="C29" i="1"/>
  <c r="D15" i="1"/>
  <c r="C15" i="1"/>
</calcChain>
</file>

<file path=xl/sharedStrings.xml><?xml version="1.0" encoding="utf-8"?>
<sst xmlns="http://schemas.openxmlformats.org/spreadsheetml/2006/main" count="78" uniqueCount="41">
  <si>
    <t>ZADANIE</t>
  </si>
  <si>
    <t>WYKONAWCA</t>
  </si>
  <si>
    <t>ESTYMATA [h]</t>
  </si>
  <si>
    <t>WYKONANIE [h]</t>
  </si>
  <si>
    <t>Utworzenie repozytorium GitHub</t>
  </si>
  <si>
    <t>Utworzenie struktury katalogów</t>
  </si>
  <si>
    <t>Instalacja Godot .NET i konfiguracja środowiska</t>
  </si>
  <si>
    <t>Konfiguracja IDE pod Godot</t>
  </si>
  <si>
    <t>Dodanie .gitignore i plikó konfiguracyjnych</t>
  </si>
  <si>
    <t>Utworzenie pierwszej sceny</t>
  </si>
  <si>
    <t>Test rysowania rośliny</t>
  </si>
  <si>
    <t>Utworzenie folderu /Database i pliku docker-compose.yml</t>
  </si>
  <si>
    <t>Stworzenie init.sql z przykładowymi roślinami</t>
  </si>
  <si>
    <t>Uruchomienie kontenera MySQL</t>
  </si>
  <si>
    <t>Test połączenia z bazą z poziomu terminala</t>
  </si>
  <si>
    <t>Michał Kierzkowski</t>
  </si>
  <si>
    <t>Mateusz Lamla</t>
  </si>
  <si>
    <t>Jakub Darul</t>
  </si>
  <si>
    <t>Przygotowanie README.md z opsiem projektu</t>
  </si>
  <si>
    <t>SPRINT 2</t>
  </si>
  <si>
    <t>Stworzenie sceny Plant.tscn</t>
  </si>
  <si>
    <t>Implementacja wstępnego Plant.cs</t>
  </si>
  <si>
    <t>Implementacja struktur danych w c#</t>
  </si>
  <si>
    <t>Implementacja UpdateVisuals()</t>
  </si>
  <si>
    <t>Implementacja rdzenia SimulateMonth w Plant.cs</t>
  </si>
  <si>
    <t>Pełna implementacja OnAreaEntered/Exit</t>
  </si>
  <si>
    <t>Implementacja CalculateSunLevel</t>
  </si>
  <si>
    <t>Implementacja CalculateCollisionFactor</t>
  </si>
  <si>
    <t>Implementacja metody PlacePlant</t>
  </si>
  <si>
    <t>Tworzenie bocznego panelu UI</t>
  </si>
  <si>
    <t>Dynamiczne generowanie przycisków / listy roślin z InitialData</t>
  </si>
  <si>
    <t>Obsługa inputu myszy</t>
  </si>
  <si>
    <t>SUMA</t>
  </si>
  <si>
    <t>Sprint</t>
  </si>
  <si>
    <t xml:space="preserve">SRPINT </t>
  </si>
  <si>
    <t>SPRINT 1</t>
  </si>
  <si>
    <t>Estymata</t>
  </si>
  <si>
    <t>Wykonanie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</si>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</sst>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1" applyFont="1" applyAlignment="1">
      <alignment horizontal="right"/>
    </xf>
    <xf numFmtId="0" fontId="3" fillId="2" borderId="0" xfId="1" applyFont="1" applyAlignment="1">
      <alignment horizontal="left"/>
    </xf>
    <xf numFmtId="0" fontId="3" fillId="2" borderId="0" xfId="1" applyFont="1" applyAlignment="1"/>
    <xf numFmtId="0" fontId="3" fillId="2" borderId="0" xfId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Estymata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8-4921-826C-548992C051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8-4921-826C-548992C051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8-4921-826C-548992C051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Arkusz1!$O$4:$O$6</c:f>
              <c:strCache>
                <c:ptCount val="3"/>
                <c:pt idx="0">
                  <c:v>Jakub Darul</c:v>
                </c:pt>
                <c:pt idx="1">
                  <c:v>Michał Kierzkowski</c:v>
                </c:pt>
                <c:pt idx="2">
                  <c:v>Mateusz Lamla</c:v>
                </c:pt>
              </c:strCache>
            </c:strRef>
          </c:cat>
          <c:val>
            <c:numRef>
              <c:f>Arkusz1!$P$4:$P$6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C-4C63-98F8-50B16F925D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Wykonanie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/>
            <c:extLst>
              <c:ext xmlns:c16="http://schemas.microsoft.com/office/drawing/2014/chart" uri="{C3380CC4-5D6E-409C-BE32-E72D297353CC}">
                <c16:uniqueId val="{0000000F-960E-43FC-BD78-752869D24B01}"/>
              </c:ext>
            </c:extLst>
          </c:dPt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0-960E-43FC-BD78-752869D24B0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1-960E-43FC-BD78-752869D24B01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Arkusz1!$O$4:$O$6</c:f>
              <c:strCache>
                <c:ptCount val="3"/>
                <c:pt idx="0">
                  <c:v>Jakub Darul</c:v>
                </c:pt>
                <c:pt idx="1">
                  <c:v>Michał Kierzkowski</c:v>
                </c:pt>
                <c:pt idx="2">
                  <c:v>Mateusz Lamla</c:v>
                </c:pt>
              </c:strCache>
            </c:strRef>
          </c:cat>
          <c:val>
            <c:numRef>
              <c:f>Arkusz1!$Q$4:$Q$6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0E-43FC-BD78-752869D24B0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60E-43FC-BD78-752869D24B01}"/>
              </c:ext>
            </c:extLst>
          </c:dPt>
          <c:dPt>
            <c:idx val="1"/>
            <c:bubble3D val="0"/>
            <c:explosion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60E-43FC-BD78-752869D24B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60E-43FC-BD78-752869D24B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Arkusz1!$O$4:$O$6</c:f>
              <c:strCache>
                <c:ptCount val="3"/>
                <c:pt idx="0">
                  <c:v>Jakub Darul</c:v>
                </c:pt>
                <c:pt idx="1">
                  <c:v>Michał Kierzkowski</c:v>
                </c:pt>
                <c:pt idx="2">
                  <c:v>Mateusz Lamla</c:v>
                </c:pt>
              </c:strCache>
            </c:strRef>
          </c:cat>
          <c:val>
            <c:numRef>
              <c:f>Arkusz1!$Q$4:$Q$6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60E-43FC-BD78-752869D24B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Estymata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Arkusz1!$R$4:$R$6</c:f>
              <c:strCach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B6-4246-B0A5-43419CDFB5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B6-4246-B0A5-43419CDFB5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B6-4246-B0A5-43419CDFB5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Arkusz1!$O$4:$O$6</c:f>
              <c:strCache>
                <c:ptCount val="3"/>
                <c:pt idx="0">
                  <c:v>Jakub Darul</c:v>
                </c:pt>
                <c:pt idx="1">
                  <c:v>Michał Kierzkowski</c:v>
                </c:pt>
                <c:pt idx="2">
                  <c:v>Mateusz Lamla</c:v>
                </c:pt>
              </c:strCache>
            </c:strRef>
          </c:cat>
          <c:val>
            <c:numRef>
              <c:f>Arkusz1!$R$4:$R$6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B6-4246-B0A5-43419CDFB5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Wykonanie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Arkusz1!$O$4:$O$6</c:f>
              <c:strCache>
                <c:ptCount val="3"/>
                <c:pt idx="0">
                  <c:v>Jakub Darul</c:v>
                </c:pt>
                <c:pt idx="1">
                  <c:v>Michał Kierzkowski</c:v>
                </c:pt>
                <c:pt idx="2">
                  <c:v>Mateusz Lamla</c:v>
                </c:pt>
              </c:strCache>
            </c:strRef>
          </c:cat>
          <c:val>
            <c:numRef>
              <c:f>Arkusz1!$S$4:$S$6</c:f>
              <c:numCache>
                <c:formatCode>General</c:formatCode>
                <c:ptCount val="3"/>
                <c:pt idx="0">
                  <c:v>6</c:v>
                </c:pt>
                <c:pt idx="1">
                  <c:v>7.5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F4-4429-85E2-2B1D58C4E019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F4-4429-85E2-2B1D58C4E019}"/>
              </c:ext>
            </c:extLst>
          </c:dPt>
          <c:dPt>
            <c:idx val="1"/>
            <c:bubble3D val="0"/>
            <c:explosion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F4-4429-85E2-2B1D58C4E0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F4-4429-85E2-2B1D58C4E0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Arkusz1!$O$4:$O$6</c:f>
              <c:strCache>
                <c:ptCount val="3"/>
                <c:pt idx="0">
                  <c:v>Jakub Darul</c:v>
                </c:pt>
                <c:pt idx="1">
                  <c:v>Michał Kierzkowski</c:v>
                </c:pt>
                <c:pt idx="2">
                  <c:v>Mateusz Lamla</c:v>
                </c:pt>
              </c:strCache>
            </c:strRef>
          </c:cat>
          <c:val>
            <c:numRef>
              <c:f>Arkusz1!$Q$4:$Q$6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F4-4429-85E2-2B1D58C4E0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200026</xdr:colOff>
      <xdr:row>1</xdr:row>
      <xdr:rowOff>4762</xdr:rowOff>
    </xdr:from>
    <xdr:to>
      <xdr:col>9</xdr:col>
      <xdr:colOff>9525</xdr:colOff>
      <xdr:row>14</xdr:row>
      <xdr:rowOff>95250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8182EA5-45D3-C62F-59CA-811705288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</xdr:row>
      <xdr:rowOff>4761</xdr:rowOff>
    </xdr:from>
    <xdr:to>
      <xdr:col>12</xdr:col>
      <xdr:colOff>590550</xdr:colOff>
      <xdr:row>14</xdr:row>
      <xdr:rowOff>104774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3248E79-E3EA-697B-FC61-3A6D07F0C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190501</xdr:colOff>
      <xdr:row>15</xdr:row>
      <xdr:rowOff>166687</xdr:rowOff>
    </xdr:from>
    <xdr:to>
      <xdr:col>9</xdr:col>
      <xdr:colOff>0</xdr:colOff>
      <xdr:row>29</xdr:row>
      <xdr:rowOff>66675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9248762-97B1-434E-86FE-74153390F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133350</xdr:colOff>
      <xdr:row>15</xdr:row>
      <xdr:rowOff>166686</xdr:rowOff>
    </xdr:from>
    <xdr:to>
      <xdr:col>12</xdr:col>
      <xdr:colOff>581025</xdr:colOff>
      <xdr:row>29</xdr:row>
      <xdr:rowOff>76199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81C1623-3DB7-4650-81D1-791059B8B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0265-4C26-49A7-97B2-50CC0710DF2F}">
  <dimension ref="A1:AA29"/>
  <sheetViews>
    <sheetView tabSelected="1" topLeftCell="B1" workbookViewId="0">
      <selection activeCell="E31" sqref="E31"/>
    </sheetView>
  </sheetViews>
  <sheetFormatPr defaultRowHeight="15" x14ac:dyDescent="0.25"/>
  <cols>
    <col min="1" max="1" width="56.85546875" bestFit="1" customWidth="1"/>
    <col min="2" max="2" width="18.140625" bestFit="1" customWidth="1"/>
    <col min="3" max="3" width="12.5703125" bestFit="1" customWidth="1"/>
    <col min="4" max="4" width="14.7109375" bestFit="1" customWidth="1"/>
    <col min="6" max="6" width="9.28515625" customWidth="1"/>
    <col min="15" max="15" width="18.140625" bestFit="1" customWidth="1"/>
    <col min="16" max="16" width="9" bestFit="1" customWidth="1"/>
    <col min="17" max="17" width="10.7109375" bestFit="1" customWidth="1"/>
    <col min="18" max="18" width="9" customWidth="1"/>
    <col min="19" max="19" width="10.7109375" bestFit="1" customWidth="1"/>
    <col min="20" max="20" width="9" bestFit="1" customWidth="1"/>
    <col min="21" max="21" width="10.7109375" bestFit="1" customWidth="1"/>
    <col min="22" max="22" width="9" bestFit="1" customWidth="1"/>
    <col min="23" max="23" width="10.7109375" bestFit="1" customWidth="1"/>
    <col min="24" max="24" width="9" bestFit="1" customWidth="1"/>
    <col min="25" max="25" width="10.7109375" bestFit="1" customWidth="1"/>
    <col min="26" max="26" width="9" bestFit="1" customWidth="1"/>
    <col min="27" max="27" width="10.71093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 spans="1:27" x14ac:dyDescent="0.25">
      <c r="A2" s="2" t="s">
        <v>34</v>
      </c>
      <c r="B2" s="3">
        <v>1</v>
      </c>
      <c r="C2" s="4"/>
      <c r="D2" s="5"/>
      <c r="E2" s="5"/>
      <c r="P2" s="7" t="s">
        <v>35</v>
      </c>
      <c r="Q2" s="7"/>
      <c r="R2" s="7" t="s">
        <v>19</v>
      </c>
      <c r="S2" s="7"/>
      <c r="T2" s="7" t="s">
        <v>38</v>
      </c>
      <c r="U2" s="7"/>
      <c r="V2" s="7" t="s">
        <v>39</v>
      </c>
      <c r="W2" s="7"/>
      <c r="X2" s="7" t="s">
        <v>40</v>
      </c>
      <c r="Y2" s="7"/>
      <c r="Z2" s="7" t="s">
        <v>32</v>
      </c>
      <c r="AA2" s="7"/>
    </row>
    <row r="3" spans="1:27" x14ac:dyDescent="0.25">
      <c r="A3" t="s">
        <v>4</v>
      </c>
      <c r="B3" t="s">
        <v>15</v>
      </c>
      <c r="C3">
        <v>1</v>
      </c>
      <c r="D3">
        <v>1</v>
      </c>
      <c r="E3">
        <v>1</v>
      </c>
      <c r="P3" t="s">
        <v>36</v>
      </c>
      <c r="Q3" t="s">
        <v>37</v>
      </c>
      <c r="R3" t="s">
        <v>36</v>
      </c>
      <c r="S3" t="s">
        <v>37</v>
      </c>
      <c r="T3" t="s">
        <v>36</v>
      </c>
      <c r="U3" t="s">
        <v>37</v>
      </c>
      <c r="V3" t="s">
        <v>36</v>
      </c>
      <c r="W3" t="s">
        <v>37</v>
      </c>
      <c r="X3" t="s">
        <v>36</v>
      </c>
      <c r="Y3" t="s">
        <v>37</v>
      </c>
      <c r="Z3" t="s">
        <v>36</v>
      </c>
      <c r="AA3" t="s">
        <v>37</v>
      </c>
    </row>
    <row r="4" spans="1:27" x14ac:dyDescent="0.25">
      <c r="A4" t="s">
        <v>18</v>
      </c>
      <c r="B4" t="s">
        <v>15</v>
      </c>
      <c r="C4">
        <v>1</v>
      </c>
      <c r="D4">
        <v>1</v>
      </c>
      <c r="E4">
        <v>1</v>
      </c>
      <c r="O4" t="s">
        <v>17</v>
      </c>
      <c r="P4">
        <f>SUMIFS($C:$C, $B:$B, $O4, $E:$E, $B$2)</f>
        <v>5</v>
      </c>
      <c r="Q4">
        <f>SUMIFS($D:$D, $B:$B, $O4, $E:$E, $B$2)</f>
        <v>5</v>
      </c>
      <c r="R4">
        <f>SUMIFS($C:$C, $B:$B, $O4, $E:$E, $B$16)</f>
        <v>7</v>
      </c>
      <c r="S4">
        <f>SUMIFS($D:$D, $B:$B, $O4, $E:$E, $B$16)</f>
        <v>6</v>
      </c>
      <c r="Z4">
        <f>SUM(P4,R4,T4,V4,X4)</f>
        <v>12</v>
      </c>
      <c r="AA4">
        <f>SUM(Q4,S4,U4,W4,Y4)</f>
        <v>11</v>
      </c>
    </row>
    <row r="5" spans="1:27" x14ac:dyDescent="0.25">
      <c r="A5" t="s">
        <v>5</v>
      </c>
      <c r="B5" t="s">
        <v>15</v>
      </c>
      <c r="C5">
        <v>1</v>
      </c>
      <c r="D5">
        <v>1</v>
      </c>
      <c r="E5">
        <v>1</v>
      </c>
      <c r="O5" t="s">
        <v>15</v>
      </c>
      <c r="P5">
        <f>SUMIFS($C:$C, $B:$B, $O5, $E:$E, $B$2)</f>
        <v>8</v>
      </c>
      <c r="Q5">
        <f>SUMIFS($D:$D, $B:$B, $O5, $E:$E, $B$2)</f>
        <v>8</v>
      </c>
      <c r="R5">
        <f>SUMIFS($C:$C, $B:$B, $O5, $E:$E, $B$16)</f>
        <v>8</v>
      </c>
      <c r="S5">
        <f>SUMIFS($D:$D, $B:$B, $O5, $E:$E, $B$16)</f>
        <v>7.5</v>
      </c>
      <c r="Z5">
        <f t="shared" ref="Z5:Z6" si="0">SUM(P5,R5,T5,V5,X5)</f>
        <v>16</v>
      </c>
      <c r="AA5">
        <f t="shared" ref="AA5:AA6" si="1">SUM(Q5,S5,U5,W5,Y5)</f>
        <v>15.5</v>
      </c>
    </row>
    <row r="6" spans="1:27" x14ac:dyDescent="0.25">
      <c r="A6" t="s">
        <v>6</v>
      </c>
      <c r="B6" t="s">
        <v>16</v>
      </c>
      <c r="C6">
        <v>2</v>
      </c>
      <c r="D6">
        <v>2</v>
      </c>
      <c r="E6">
        <v>1</v>
      </c>
      <c r="O6" t="s">
        <v>16</v>
      </c>
      <c r="P6">
        <f>SUMIFS($C:$C, $B:$B, $O6, $E:$E, $B$2)</f>
        <v>4</v>
      </c>
      <c r="Q6">
        <f>SUMIFS($D:$D, $B:$B, $O6, $E:$E, $B$2)</f>
        <v>5</v>
      </c>
      <c r="R6">
        <f>SUMIFS($C:$C, $B:$B, $O6, $E:$E, $B$16)</f>
        <v>10</v>
      </c>
      <c r="S6">
        <f>SUMIFS($D:$D, $B:$B, $O6, $E:$E, $B$16)</f>
        <v>8</v>
      </c>
      <c r="Z6">
        <f t="shared" si="0"/>
        <v>14</v>
      </c>
      <c r="AA6">
        <f t="shared" si="1"/>
        <v>13</v>
      </c>
    </row>
    <row r="7" spans="1:27" x14ac:dyDescent="0.25">
      <c r="A7" t="s">
        <v>7</v>
      </c>
      <c r="B7" t="s">
        <v>16</v>
      </c>
      <c r="C7">
        <v>1</v>
      </c>
      <c r="D7">
        <v>2</v>
      </c>
      <c r="E7">
        <v>1</v>
      </c>
    </row>
    <row r="8" spans="1:27" x14ac:dyDescent="0.25">
      <c r="A8" t="s">
        <v>8</v>
      </c>
      <c r="B8" t="s">
        <v>16</v>
      </c>
      <c r="C8">
        <v>1</v>
      </c>
      <c r="D8">
        <v>1</v>
      </c>
      <c r="E8">
        <v>1</v>
      </c>
    </row>
    <row r="9" spans="1:27" x14ac:dyDescent="0.25">
      <c r="A9" t="s">
        <v>9</v>
      </c>
      <c r="B9" t="s">
        <v>15</v>
      </c>
      <c r="C9">
        <v>3</v>
      </c>
      <c r="D9">
        <v>3</v>
      </c>
      <c r="E9">
        <v>1</v>
      </c>
    </row>
    <row r="10" spans="1:27" x14ac:dyDescent="0.25">
      <c r="A10" t="s">
        <v>10</v>
      </c>
      <c r="B10" t="s">
        <v>15</v>
      </c>
      <c r="C10">
        <v>2</v>
      </c>
      <c r="D10">
        <v>2</v>
      </c>
      <c r="E10">
        <v>1</v>
      </c>
    </row>
    <row r="11" spans="1:27" x14ac:dyDescent="0.25">
      <c r="A11" t="s">
        <v>11</v>
      </c>
      <c r="B11" t="s">
        <v>17</v>
      </c>
      <c r="C11">
        <v>1</v>
      </c>
      <c r="D11">
        <v>1</v>
      </c>
      <c r="E11">
        <v>1</v>
      </c>
    </row>
    <row r="12" spans="1:27" x14ac:dyDescent="0.25">
      <c r="A12" t="s">
        <v>12</v>
      </c>
      <c r="B12" t="s">
        <v>17</v>
      </c>
      <c r="C12">
        <v>2</v>
      </c>
      <c r="D12">
        <v>2</v>
      </c>
      <c r="E12">
        <v>1</v>
      </c>
    </row>
    <row r="13" spans="1:27" x14ac:dyDescent="0.25">
      <c r="A13" t="s">
        <v>13</v>
      </c>
      <c r="B13" t="s">
        <v>17</v>
      </c>
      <c r="C13">
        <v>1</v>
      </c>
      <c r="D13">
        <v>1</v>
      </c>
      <c r="E13">
        <v>1</v>
      </c>
    </row>
    <row r="14" spans="1:27" x14ac:dyDescent="0.25">
      <c r="A14" t="s">
        <v>14</v>
      </c>
      <c r="B14" t="s">
        <v>17</v>
      </c>
      <c r="C14">
        <v>1</v>
      </c>
      <c r="D14">
        <v>1</v>
      </c>
      <c r="E14">
        <v>1</v>
      </c>
    </row>
    <row r="15" spans="1:27" x14ac:dyDescent="0.25">
      <c r="A15" s="8" t="s">
        <v>32</v>
      </c>
      <c r="B15" s="8"/>
      <c r="C15" s="6">
        <f>SUM(C3:C14)</f>
        <v>17</v>
      </c>
      <c r="D15" s="6">
        <f>SUM(D3:D14)</f>
        <v>18</v>
      </c>
    </row>
    <row r="16" spans="1:27" x14ac:dyDescent="0.25">
      <c r="A16" s="2" t="s">
        <v>34</v>
      </c>
      <c r="B16" s="3">
        <v>2</v>
      </c>
      <c r="C16" s="4"/>
      <c r="D16" s="5"/>
      <c r="E16" s="5"/>
    </row>
    <row r="17" spans="1:5" x14ac:dyDescent="0.25">
      <c r="A17" t="s">
        <v>20</v>
      </c>
      <c r="B17" t="s">
        <v>15</v>
      </c>
      <c r="C17">
        <v>1</v>
      </c>
      <c r="D17">
        <v>1</v>
      </c>
      <c r="E17">
        <v>2</v>
      </c>
    </row>
    <row r="18" spans="1:5" x14ac:dyDescent="0.25">
      <c r="A18" t="s">
        <v>21</v>
      </c>
      <c r="B18" t="s">
        <v>15</v>
      </c>
      <c r="C18">
        <v>3</v>
      </c>
      <c r="D18">
        <v>3</v>
      </c>
      <c r="E18">
        <v>2</v>
      </c>
    </row>
    <row r="19" spans="1:5" x14ac:dyDescent="0.25">
      <c r="A19" t="s">
        <v>22</v>
      </c>
      <c r="B19" t="s">
        <v>16</v>
      </c>
      <c r="C19">
        <v>3</v>
      </c>
      <c r="D19">
        <v>2</v>
      </c>
      <c r="E19">
        <v>2</v>
      </c>
    </row>
    <row r="20" spans="1:5" x14ac:dyDescent="0.25">
      <c r="A20" t="s">
        <v>23</v>
      </c>
      <c r="B20" t="s">
        <v>15</v>
      </c>
      <c r="C20">
        <v>1</v>
      </c>
      <c r="D20">
        <v>1</v>
      </c>
      <c r="E20">
        <v>2</v>
      </c>
    </row>
    <row r="21" spans="1:5" x14ac:dyDescent="0.25">
      <c r="A21" t="s">
        <v>24</v>
      </c>
      <c r="B21" t="s">
        <v>15</v>
      </c>
      <c r="C21">
        <v>2</v>
      </c>
      <c r="D21">
        <v>1.5</v>
      </c>
      <c r="E21">
        <v>2</v>
      </c>
    </row>
    <row r="22" spans="1:5" x14ac:dyDescent="0.25">
      <c r="A22" t="s">
        <v>25</v>
      </c>
      <c r="B22" t="s">
        <v>15</v>
      </c>
      <c r="C22">
        <v>1</v>
      </c>
      <c r="D22">
        <v>1</v>
      </c>
      <c r="E22">
        <v>2</v>
      </c>
    </row>
    <row r="23" spans="1:5" x14ac:dyDescent="0.25">
      <c r="A23" t="s">
        <v>26</v>
      </c>
      <c r="B23" t="s">
        <v>17</v>
      </c>
      <c r="C23">
        <v>3</v>
      </c>
      <c r="D23">
        <v>2</v>
      </c>
      <c r="E23">
        <v>2</v>
      </c>
    </row>
    <row r="24" spans="1:5" x14ac:dyDescent="0.25">
      <c r="A24" t="s">
        <v>27</v>
      </c>
      <c r="B24" t="s">
        <v>17</v>
      </c>
      <c r="C24">
        <v>3</v>
      </c>
      <c r="D24">
        <v>3</v>
      </c>
      <c r="E24">
        <v>2</v>
      </c>
    </row>
    <row r="25" spans="1:5" x14ac:dyDescent="0.25">
      <c r="A25" t="s">
        <v>28</v>
      </c>
      <c r="B25" t="s">
        <v>16</v>
      </c>
      <c r="C25">
        <v>3</v>
      </c>
      <c r="D25">
        <v>2</v>
      </c>
      <c r="E25">
        <v>2</v>
      </c>
    </row>
    <row r="26" spans="1:5" x14ac:dyDescent="0.25">
      <c r="A26" t="s">
        <v>29</v>
      </c>
      <c r="B26" t="s">
        <v>17</v>
      </c>
      <c r="C26">
        <v>1</v>
      </c>
      <c r="D26">
        <v>1</v>
      </c>
      <c r="E26">
        <v>2</v>
      </c>
    </row>
    <row r="27" spans="1:5" x14ac:dyDescent="0.25">
      <c r="A27" t="s">
        <v>30</v>
      </c>
      <c r="B27" t="s">
        <v>16</v>
      </c>
      <c r="C27">
        <v>2</v>
      </c>
      <c r="D27">
        <v>2</v>
      </c>
      <c r="E27">
        <v>2</v>
      </c>
    </row>
    <row r="28" spans="1:5" x14ac:dyDescent="0.25">
      <c r="A28" t="s">
        <v>31</v>
      </c>
      <c r="B28" t="s">
        <v>16</v>
      </c>
      <c r="C28">
        <v>2</v>
      </c>
      <c r="D28">
        <v>2</v>
      </c>
      <c r="E28">
        <v>2</v>
      </c>
    </row>
    <row r="29" spans="1:5" x14ac:dyDescent="0.25">
      <c r="A29" s="8" t="s">
        <v>32</v>
      </c>
      <c r="B29" s="8"/>
      <c r="C29" s="6">
        <f>SUM(C17:C28)</f>
        <v>25</v>
      </c>
      <c r="D29" s="6">
        <f>SUM(D17:D28)</f>
        <v>21.5</v>
      </c>
    </row>
  </sheetData>
  <mergeCells count="8">
    <mergeCell ref="V2:W2"/>
    <mergeCell ref="X2:Y2"/>
    <mergeCell ref="Z2:AA2"/>
    <mergeCell ref="R2:S2"/>
    <mergeCell ref="A15:B15"/>
    <mergeCell ref="A29:B29"/>
    <mergeCell ref="P2:Q2"/>
    <mergeCell ref="T2:U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lamla</dc:creator>
  <cp:lastModifiedBy>mateusz lamla</cp:lastModifiedBy>
  <dcterms:created xsi:type="dcterms:W3CDTF">2025-11-28T19:50:23Z</dcterms:created>
  <dcterms:modified xsi:type="dcterms:W3CDTF">2025-11-28T20:59:39Z</dcterms:modified>
</cp:coreProperties>
</file>